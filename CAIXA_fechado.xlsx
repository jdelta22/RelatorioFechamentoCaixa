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lanilh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&quot;R$ &quot;#,##0.00;[RED]&quot;R$ -&quot;#,##0.00"/>
    <numFmt numFmtId="165" formatCode="_-&quot;R$ &quot;* #,##0.00_-;&quot;-R$ &quot;* #,##0.00_-;_-&quot;R$ &quot;* \-??_-;_-@_-"/>
    <numFmt numFmtId="166" formatCode="&quot;R$&quot; #,##0.00;[Red]&quot;R$&quot; -#,##0.00"/>
  </numFmts>
  <fonts count="1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0"/>
      <color rgb="FF000000"/>
      <sz val="14"/>
    </font>
    <font>
      <name val="Calibri"/>
      <charset val="1"/>
      <family val="0"/>
      <sz val="14"/>
    </font>
    <font>
      <name val="Calibri"/>
      <charset val="1"/>
      <family val="0"/>
      <color rgb="FF000000"/>
      <sz val="12"/>
    </font>
    <font>
      <name val="Calibri"/>
      <charset val="1"/>
      <family val="0"/>
      <b val="1"/>
      <color rgb="FF000000"/>
      <sz val="16"/>
    </font>
    <font>
      <name val="Calibri"/>
      <charset val="1"/>
      <family val="0"/>
      <color rgb="FF000000"/>
      <sz val="18"/>
    </font>
    <font>
      <name val="Calibri"/>
      <charset val="1"/>
      <family val="0"/>
      <color rgb="FF000000"/>
      <sz val="16"/>
    </font>
    <font>
      <name val="Calibri"/>
      <charset val="1"/>
      <family val="0"/>
      <b val="1"/>
      <color rgb="FF000000"/>
      <sz val="14"/>
    </font>
    <font>
      <name val="Calibri"/>
      <charset val="1"/>
      <family val="2"/>
      <color rgb="FF000000"/>
      <sz val="14"/>
    </font>
    <font>
      <name val="Calibri"/>
      <charset val="1"/>
      <family val="0"/>
      <b val="1"/>
      <color rgb="FF000000"/>
      <sz val="11"/>
    </font>
    <font>
      <name val="Calibri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D0D0D"/>
      </patternFill>
    </fill>
    <fill>
      <patternFill patternType="solid">
        <fgColor rgb="FFFFFFFF"/>
        <bgColor rgb="FFFFFFCC"/>
      </patternFill>
    </fill>
    <fill>
      <patternFill patternType="solid">
        <fgColor rgb="00ffff00"/>
      </patternFill>
    </fill>
  </fills>
  <borders count="29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thin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medium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/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6" fillId="0" borderId="0" applyAlignment="1">
      <alignment horizontal="right" vertical="bottom"/>
    </xf>
    <xf numFmtId="42" fontId="3" fillId="0" borderId="0"/>
    <xf numFmtId="9" fontId="3" fillId="0" borderId="0"/>
    <xf numFmtId="166" fontId="14" fillId="0" borderId="26" applyAlignment="1">
      <alignment horizontal="right" vertical="bottom"/>
    </xf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5" fillId="3" borderId="2" applyAlignment="1" pivotButton="0" quotePrefix="0" xfId="0">
      <alignment horizontal="general" vertical="bottom"/>
    </xf>
    <xf numFmtId="0" fontId="5" fillId="3" borderId="3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5" fillId="3" borderId="5" applyAlignment="1" pivotButton="0" quotePrefix="0" xfId="0">
      <alignment horizontal="general" vertical="bottom"/>
    </xf>
    <xf numFmtId="0" fontId="5" fillId="3" borderId="4" applyAlignment="1" pivotButton="0" quotePrefix="0" xfId="0">
      <alignment horizontal="general" vertical="bottom"/>
    </xf>
    <xf numFmtId="0" fontId="5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general" vertical="bottom"/>
    </xf>
    <xf numFmtId="0" fontId="5" fillId="0" borderId="6" applyAlignment="1" pivotButton="0" quotePrefix="0" xfId="0">
      <alignment horizontal="general" vertical="bottom"/>
    </xf>
    <xf numFmtId="164" fontId="6" fillId="0" borderId="6" applyAlignment="1" pivotButton="0" quotePrefix="0" xfId="17">
      <alignment horizontal="right" vertical="bottom"/>
    </xf>
    <xf numFmtId="165" fontId="5" fillId="0" borderId="0" applyAlignment="1" pivotButton="0" quotePrefix="0" xfId="0">
      <alignment horizontal="general" vertical="bottom"/>
    </xf>
    <xf numFmtId="0" fontId="5" fillId="5" borderId="6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bottom"/>
    </xf>
    <xf numFmtId="164" fontId="6" fillId="0" borderId="7" applyAlignment="1" pivotButton="0" quotePrefix="0" xfId="17">
      <alignment horizontal="right" vertical="bottom"/>
    </xf>
    <xf numFmtId="0" fontId="8" fillId="2" borderId="8" applyAlignment="1" pivotButton="0" quotePrefix="0" xfId="0">
      <alignment horizontal="general" vertical="bottom"/>
    </xf>
    <xf numFmtId="164" fontId="6" fillId="2" borderId="9" applyAlignment="1" pivotButton="0" quotePrefix="0" xfId="17">
      <alignment horizontal="right" vertical="bottom"/>
    </xf>
    <xf numFmtId="164" fontId="6" fillId="2" borderId="10" applyAlignment="1" pivotButton="0" quotePrefix="0" xfId="17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5" fillId="4" borderId="5" applyAlignment="1" pivotButton="0" quotePrefix="0" xfId="0">
      <alignment horizontal="general" vertical="bottom"/>
    </xf>
    <xf numFmtId="165" fontId="5" fillId="4" borderId="11" applyAlignment="1" pivotButton="0" quotePrefix="0" xfId="0">
      <alignment horizontal="general" vertical="bottom"/>
    </xf>
    <xf numFmtId="0" fontId="11" fillId="2" borderId="8" applyAlignment="1" pivotButton="0" quotePrefix="0" xfId="0">
      <alignment horizontal="center" vertical="bottom"/>
    </xf>
    <xf numFmtId="0" fontId="11" fillId="5" borderId="12" applyAlignment="1" pivotButton="0" quotePrefix="0" xfId="0">
      <alignment horizontal="center" vertical="bottom"/>
    </xf>
    <xf numFmtId="0" fontId="11" fillId="5" borderId="13" applyAlignment="1" pivotButton="0" quotePrefix="0" xfId="0">
      <alignment horizontal="center" vertical="bottom"/>
    </xf>
    <xf numFmtId="165" fontId="11" fillId="5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left" vertical="top" wrapText="1"/>
    </xf>
    <xf numFmtId="164" fontId="6" fillId="0" borderId="2" applyAlignment="1" pivotButton="0" quotePrefix="0" xfId="17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12" fillId="0" borderId="6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5" fillId="0" borderId="6" applyAlignment="1" pivotButton="0" quotePrefix="0" xfId="0">
      <alignment horizontal="general" vertical="bottom" wrapText="1"/>
    </xf>
    <xf numFmtId="0" fontId="12" fillId="0" borderId="6" applyAlignment="1" pivotButton="0" quotePrefix="0" xfId="0">
      <alignment horizontal="general" vertical="bottom"/>
    </xf>
    <xf numFmtId="165" fontId="11" fillId="0" borderId="6" applyAlignment="1" pivotButton="0" quotePrefix="0" xfId="0">
      <alignment horizontal="general" vertical="bottom"/>
    </xf>
    <xf numFmtId="0" fontId="12" fillId="2" borderId="14" applyAlignment="1" pivotButton="0" quotePrefix="0" xfId="0">
      <alignment horizontal="general" vertical="bottom"/>
    </xf>
    <xf numFmtId="164" fontId="6" fillId="2" borderId="2" applyAlignment="1" pivotButton="0" quotePrefix="0" xfId="17">
      <alignment horizontal="right" vertical="bottom"/>
    </xf>
    <xf numFmtId="0" fontId="11" fillId="4" borderId="15" applyAlignment="1" pivotButton="0" quotePrefix="0" xfId="0">
      <alignment horizontal="center" vertical="bottom"/>
    </xf>
    <xf numFmtId="0" fontId="11" fillId="0" borderId="1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17" applyAlignment="1" pivotButton="0" quotePrefix="0" xfId="0">
      <alignment horizontal="general" vertical="bottom"/>
    </xf>
    <xf numFmtId="0" fontId="11" fillId="0" borderId="18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12" fillId="5" borderId="19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164" fontId="6" fillId="2" borderId="1" applyAlignment="1" pivotButton="0" quotePrefix="0" xfId="17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5" fillId="2" borderId="2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5" fillId="3" borderId="2" applyAlignment="1" pivotButton="0" quotePrefix="0" xfId="0">
      <alignment horizontal="general" vertical="bottom"/>
    </xf>
    <xf numFmtId="0" fontId="5" fillId="3" borderId="3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5" fillId="3" borderId="5" applyAlignment="1" pivotButton="0" quotePrefix="0" xfId="0">
      <alignment horizontal="general" vertical="bottom"/>
    </xf>
    <xf numFmtId="0" fontId="5" fillId="3" borderId="4" applyAlignment="1" pivotButton="0" quotePrefix="0" xfId="0">
      <alignment horizontal="general" vertical="bottom"/>
    </xf>
    <xf numFmtId="0" fontId="5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general" vertical="bottom"/>
    </xf>
    <xf numFmtId="0" fontId="5" fillId="0" borderId="6" applyAlignment="1" pivotButton="0" quotePrefix="0" xfId="0">
      <alignment horizontal="general" vertical="bottom"/>
    </xf>
    <xf numFmtId="166" fontId="14" fillId="0" borderId="27" applyAlignment="1" pivotButton="0" quotePrefix="0" xfId="6">
      <alignment horizontal="right" vertical="bottom"/>
    </xf>
    <xf numFmtId="165" fontId="5" fillId="0" borderId="0" applyAlignment="1" pivotButton="0" quotePrefix="0" xfId="0">
      <alignment horizontal="general" vertical="bottom"/>
    </xf>
    <xf numFmtId="0" fontId="5" fillId="5" borderId="6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bottom"/>
    </xf>
    <xf numFmtId="0" fontId="8" fillId="2" borderId="8" applyAlignment="1" pivotButton="0" quotePrefix="0" xfId="0">
      <alignment horizontal="general" vertical="bottom"/>
    </xf>
    <xf numFmtId="166" fontId="14" fillId="6" borderId="28" applyAlignment="1" pivotButton="0" quotePrefix="0" xfId="6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5" fillId="4" borderId="5" applyAlignment="1" pivotButton="0" quotePrefix="0" xfId="0">
      <alignment horizontal="general" vertical="bottom"/>
    </xf>
    <xf numFmtId="165" fontId="5" fillId="4" borderId="11" applyAlignment="1" pivotButton="0" quotePrefix="0" xfId="0">
      <alignment horizontal="general" vertical="bottom"/>
    </xf>
    <xf numFmtId="0" fontId="11" fillId="2" borderId="8" applyAlignment="1" pivotButton="0" quotePrefix="0" xfId="0">
      <alignment horizontal="center" vertical="bottom"/>
    </xf>
    <xf numFmtId="0" fontId="0" fillId="0" borderId="25" pivotButton="0" quotePrefix="0" xfId="0"/>
    <xf numFmtId="0" fontId="11" fillId="5" borderId="12" applyAlignment="1" pivotButton="0" quotePrefix="0" xfId="0">
      <alignment horizontal="center" vertical="bottom"/>
    </xf>
    <xf numFmtId="0" fontId="11" fillId="5" borderId="13" applyAlignment="1" pivotButton="0" quotePrefix="0" xfId="0">
      <alignment horizontal="center" vertical="bottom"/>
    </xf>
    <xf numFmtId="165" fontId="11" fillId="5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 wrapText="1"/>
    </xf>
    <xf numFmtId="0" fontId="12" fillId="0" borderId="6" applyAlignment="1" pivotButton="0" quotePrefix="0" xfId="0">
      <alignment horizontal="general" vertical="bottom" wrapText="1"/>
    </xf>
    <xf numFmtId="0" fontId="5" fillId="0" borderId="6" applyAlignment="1" pivotButton="0" quotePrefix="0" xfId="0">
      <alignment horizontal="general" vertical="bottom" wrapText="1"/>
    </xf>
    <xf numFmtId="0" fontId="12" fillId="0" borderId="6" applyAlignment="1" pivotButton="0" quotePrefix="0" xfId="0">
      <alignment horizontal="general" vertical="bottom"/>
    </xf>
    <xf numFmtId="0" fontId="12" fillId="2" borderId="14" applyAlignment="1" pivotButton="0" quotePrefix="0" xfId="0">
      <alignment horizontal="general" vertical="bottom"/>
    </xf>
    <xf numFmtId="0" fontId="11" fillId="4" borderId="15" applyAlignment="1" pivotButton="0" quotePrefix="0" xfId="0">
      <alignment horizontal="center" vertical="bottom"/>
    </xf>
    <xf numFmtId="0" fontId="0" fillId="0" borderId="21" pivotButton="0" quotePrefix="0" xfId="0"/>
    <xf numFmtId="0" fontId="4" fillId="2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1" fillId="0" borderId="1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17" applyAlignment="1" pivotButton="0" quotePrefix="0" xfId="0">
      <alignment horizontal="general" vertical="bottom"/>
    </xf>
    <xf numFmtId="0" fontId="11" fillId="0" borderId="18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12" fillId="5" borderId="19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oeda" xfId="6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66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selection pane="topLeft" activeCell="F15" activeCellId="0" sqref="F15"/>
    </sheetView>
  </sheetViews>
  <sheetFormatPr baseColWidth="8" defaultColWidth="8.59765625" defaultRowHeight="15" zeroHeight="1" outlineLevelRow="0"/>
  <cols>
    <col width="22.43" customWidth="1" style="54" min="1" max="1"/>
    <col width="15.57" customWidth="1" style="54" min="2" max="2"/>
    <col width="20.57" customWidth="1" style="54" min="3" max="3"/>
    <col width="1.57" customWidth="1" style="54" min="4" max="4"/>
    <col width="22.4" customWidth="1" style="54" min="5" max="5"/>
    <col width="15.15" customWidth="1" style="54" min="6" max="6"/>
    <col width="20.29" customWidth="1" style="54" min="7" max="7"/>
    <col hidden="1" width="9.140000000000001" customWidth="1" style="54" min="8" max="1025"/>
  </cols>
  <sheetData>
    <row r="1" ht="19.5" customHeight="1" s="55">
      <c r="A1" s="56" t="inlineStr">
        <is>
          <t>CAIXA DIA 04/01/2026</t>
        </is>
      </c>
      <c r="B1" s="57" t="n"/>
      <c r="C1" s="57" t="n"/>
      <c r="D1" s="57" t="n"/>
      <c r="E1" s="57" t="n"/>
      <c r="F1" s="57" t="n"/>
      <c r="G1" s="58" t="n"/>
    </row>
    <row r="2" ht="4.25" customHeight="1" s="55">
      <c r="A2" s="59" t="n"/>
      <c r="B2" s="59" t="n"/>
      <c r="C2" s="60" t="n"/>
      <c r="D2" s="61" t="n"/>
      <c r="E2" s="62" t="n"/>
      <c r="F2" s="63" t="n"/>
      <c r="G2" s="63" t="n"/>
    </row>
    <row r="3" ht="23.25" customHeight="1" s="55">
      <c r="A3" s="64" t="inlineStr">
        <is>
          <t>PRODUTO</t>
        </is>
      </c>
      <c r="B3" s="64" t="inlineStr">
        <is>
          <t>QUANTIDADE</t>
        </is>
      </c>
      <c r="C3" s="64" t="inlineStr">
        <is>
          <t>VALOR</t>
        </is>
      </c>
      <c r="E3" s="64" t="inlineStr">
        <is>
          <t>PRODUTO</t>
        </is>
      </c>
      <c r="F3" s="64" t="inlineStr">
        <is>
          <t>QUANTIDADE</t>
        </is>
      </c>
      <c r="G3" s="64" t="inlineStr">
        <is>
          <t>VALOR</t>
        </is>
      </c>
    </row>
    <row r="4" ht="21" customHeight="1" s="55">
      <c r="A4" s="65" t="inlineStr">
        <is>
          <t>pacote doce</t>
        </is>
      </c>
      <c r="B4" s="66" t="n">
        <v>89</v>
      </c>
      <c r="C4" s="67" t="n">
        <v>499</v>
      </c>
      <c r="D4" s="68" t="n"/>
      <c r="E4" s="69" t="inlineStr">
        <is>
          <t>NAZARÉ</t>
        </is>
      </c>
      <c r="F4" s="69" t="n">
        <v>1</v>
      </c>
      <c r="G4" s="67" t="n">
        <v>84</v>
      </c>
    </row>
    <row r="5" ht="21" customHeight="1" s="55">
      <c r="A5" s="70" t="inlineStr">
        <is>
          <t>pacote sal</t>
        </is>
      </c>
      <c r="B5" s="66" t="n">
        <v>52</v>
      </c>
      <c r="C5" s="67" t="n">
        <v>311.86</v>
      </c>
      <c r="D5" s="68" t="n"/>
      <c r="E5" s="69" t="inlineStr">
        <is>
          <t>QUEIJO</t>
        </is>
      </c>
      <c r="F5" s="69" t="n"/>
      <c r="G5" s="67" t="n"/>
    </row>
    <row r="6" ht="19.5" customHeight="1" s="55">
      <c r="A6" s="70" t="inlineStr">
        <is>
          <t>pacote suiça</t>
        </is>
      </c>
      <c r="B6" s="66" t="n">
        <v>55</v>
      </c>
      <c r="C6" s="67" t="n">
        <v>329.86</v>
      </c>
      <c r="D6" s="68" t="n"/>
      <c r="E6" s="66" t="inlineStr">
        <is>
          <t>COQUINHO</t>
        </is>
      </c>
      <c r="F6" s="65" t="n"/>
      <c r="G6" s="67" t="n"/>
    </row>
    <row r="7" ht="19.5" customHeight="1" s="55">
      <c r="A7" s="70" t="inlineStr">
        <is>
          <t>pacote nazare</t>
        </is>
      </c>
      <c r="B7" s="66" t="n">
        <v>19</v>
      </c>
      <c r="C7" s="67" t="n">
        <v>114</v>
      </c>
      <c r="D7" s="68" t="n"/>
      <c r="E7" s="66" t="inlineStr">
        <is>
          <t>DOCE</t>
        </is>
      </c>
      <c r="F7" s="66" t="n">
        <v>5</v>
      </c>
      <c r="G7" s="67" t="n">
        <v>660</v>
      </c>
    </row>
    <row r="8" ht="19.5" customHeight="1" s="55">
      <c r="A8" s="70" t="inlineStr">
        <is>
          <t>pacote queijo</t>
        </is>
      </c>
      <c r="B8" s="66" t="n">
        <v>17</v>
      </c>
      <c r="C8" s="67" t="n">
        <v>102</v>
      </c>
      <c r="D8" s="68" t="n"/>
      <c r="E8" s="66" t="inlineStr">
        <is>
          <t>SALGADA</t>
        </is>
      </c>
      <c r="F8" s="66" t="n">
        <v>3</v>
      </c>
      <c r="G8" s="67" t="n">
        <v>396</v>
      </c>
    </row>
    <row r="9" ht="19.5" customHeight="1" s="55">
      <c r="A9" s="70" t="inlineStr">
        <is>
          <t>pacote coquinho</t>
        </is>
      </c>
      <c r="B9" s="66" t="n">
        <v>5</v>
      </c>
      <c r="C9" s="67" t="n">
        <v>29.86</v>
      </c>
      <c r="D9" s="68" t="n"/>
      <c r="E9" s="66" t="inlineStr">
        <is>
          <t>SUIÇA</t>
        </is>
      </c>
      <c r="F9" s="66" t="n">
        <v>7</v>
      </c>
      <c r="G9" s="67" t="n">
        <v>630</v>
      </c>
    </row>
    <row r="10" ht="19.5" customHeight="1" s="55">
      <c r="A10" s="70" t="inlineStr">
        <is>
          <t>sequilho</t>
        </is>
      </c>
      <c r="B10" s="66" t="n">
        <v>26</v>
      </c>
      <c r="C10" s="67" t="n">
        <v>78</v>
      </c>
      <c r="D10" s="68" t="n"/>
      <c r="E10" s="71" t="inlineStr">
        <is>
          <t>MISTA</t>
        </is>
      </c>
      <c r="F10" s="71" t="n">
        <v>4</v>
      </c>
      <c r="G10" s="67" t="n">
        <v>527.22</v>
      </c>
    </row>
    <row r="11" ht="19.5" customHeight="1" s="55">
      <c r="A11" s="70" t="inlineStr">
        <is>
          <t>fardo</t>
        </is>
      </c>
      <c r="B11" s="66" t="n">
        <v>38</v>
      </c>
      <c r="C11" s="67" t="n">
        <v>303.82</v>
      </c>
      <c r="D11" s="68" t="n"/>
      <c r="E11" s="72" t="inlineStr">
        <is>
          <t>TOTAL CAIXAS</t>
        </is>
      </c>
      <c r="F11" s="73">
        <f>SUM(F4:F10)</f>
        <v/>
      </c>
      <c r="G11" s="73">
        <f>SUM(G4:G10)</f>
        <v/>
      </c>
    </row>
    <row r="12" ht="19.5" customHeight="1" s="55">
      <c r="A12" s="70" t="inlineStr">
        <is>
          <t>recheado</t>
        </is>
      </c>
      <c r="B12" s="66" t="n">
        <v>18</v>
      </c>
      <c r="C12" s="67" t="n">
        <v>180</v>
      </c>
      <c r="D12" s="68" t="n"/>
    </row>
    <row r="13" ht="19.5" customHeight="1" s="55">
      <c r="A13" s="70" t="inlineStr">
        <is>
          <t>rosquinha</t>
        </is>
      </c>
      <c r="B13" s="66" t="n">
        <v>4</v>
      </c>
      <c r="C13" s="67" t="n">
        <v>40</v>
      </c>
      <c r="D13" s="68" t="n"/>
    </row>
    <row r="14" ht="19.5" customHeight="1" s="55">
      <c r="A14" s="70" t="inlineStr">
        <is>
          <t>sua mãe</t>
        </is>
      </c>
      <c r="B14" s="66" t="n">
        <v>2</v>
      </c>
      <c r="C14" s="67" t="n">
        <v>19.73</v>
      </c>
      <c r="D14" s="68" t="n"/>
    </row>
    <row r="15" ht="19.5" customHeight="1" s="55">
      <c r="A15" s="70" t="inlineStr">
        <is>
          <t>bolo de rolo grande</t>
        </is>
      </c>
      <c r="B15" s="66" t="n">
        <v>4</v>
      </c>
      <c r="C15" s="67" t="n">
        <v>40</v>
      </c>
      <c r="D15" s="68" t="n"/>
    </row>
    <row r="16" ht="19.5" customHeight="1" s="55">
      <c r="A16" s="70" t="inlineStr">
        <is>
          <t>bolo de rolo pequeno</t>
        </is>
      </c>
      <c r="B16" s="66" t="n"/>
      <c r="C16" s="67" t="n"/>
      <c r="D16" s="68" t="n"/>
    </row>
    <row r="17" ht="19.5" customHeight="1" s="55">
      <c r="A17" s="70" t="inlineStr">
        <is>
          <t>doce de leite pequeno</t>
        </is>
      </c>
      <c r="B17" s="66" t="n">
        <v>2</v>
      </c>
      <c r="C17" s="67" t="n">
        <v>7</v>
      </c>
      <c r="D17" s="68" t="n"/>
    </row>
    <row r="18" ht="19.5" customHeight="1" s="55">
      <c r="A18" s="70" t="inlineStr">
        <is>
          <t>doce de leite pote</t>
        </is>
      </c>
      <c r="B18" s="66" t="n"/>
      <c r="C18" s="67" t="n"/>
      <c r="D18" s="68" t="n"/>
    </row>
    <row r="19" ht="19.5" customHeight="1" s="55">
      <c r="A19" s="70" t="inlineStr">
        <is>
          <t>amendoin</t>
        </is>
      </c>
      <c r="B19" s="66" t="n">
        <v>1</v>
      </c>
      <c r="C19" s="67" t="n">
        <v>5</v>
      </c>
      <c r="D19" s="68" t="n"/>
    </row>
    <row r="20" ht="19.5" customHeight="1" s="55">
      <c r="A20" s="70" t="inlineStr">
        <is>
          <t>castanha</t>
        </is>
      </c>
      <c r="B20" s="66" t="n">
        <v>3</v>
      </c>
      <c r="C20" s="67" t="n">
        <v>24</v>
      </c>
      <c r="D20" s="68" t="n"/>
    </row>
    <row r="21" ht="19.5" customHeight="1" s="55">
      <c r="A21" s="70" t="inlineStr">
        <is>
          <t>nego bom</t>
        </is>
      </c>
      <c r="B21" s="66" t="n">
        <v>5</v>
      </c>
      <c r="C21" s="67" t="n">
        <v>49.76</v>
      </c>
      <c r="D21" s="68" t="n"/>
    </row>
    <row r="22" ht="19.5" customHeight="1" s="55">
      <c r="A22" s="70" t="inlineStr">
        <is>
          <t>pé de moça</t>
        </is>
      </c>
      <c r="B22" s="66" t="n"/>
      <c r="C22" s="67" t="n"/>
      <c r="D22" s="68" t="n"/>
    </row>
    <row r="23" ht="19.5" customHeight="1" s="55">
      <c r="A23" s="70" t="inlineStr">
        <is>
          <t>beiju recheado</t>
        </is>
      </c>
      <c r="B23" s="66" t="n">
        <v>3</v>
      </c>
      <c r="C23" s="67" t="n">
        <v>36</v>
      </c>
      <c r="D23" s="68" t="n"/>
    </row>
    <row r="24" ht="19.5" customHeight="1" s="55">
      <c r="A24" s="70" t="inlineStr">
        <is>
          <t>biscoito alexandre</t>
        </is>
      </c>
      <c r="B24" s="66" t="n">
        <v>1</v>
      </c>
      <c r="C24" s="67" t="n">
        <v>15</v>
      </c>
      <c r="D24" s="68" t="n"/>
    </row>
    <row r="25" ht="19.5" customHeight="1" s="55">
      <c r="A25" s="70" t="inlineStr">
        <is>
          <t>brigadeiro</t>
        </is>
      </c>
      <c r="B25" s="66" t="n">
        <v>8</v>
      </c>
      <c r="C25" s="67" t="n">
        <v>28</v>
      </c>
      <c r="D25" s="68" t="n"/>
    </row>
    <row r="26" ht="19.5" customHeight="1" s="55">
      <c r="A26" s="70" t="inlineStr">
        <is>
          <t>pingo bel</t>
        </is>
      </c>
      <c r="B26" s="66" t="n">
        <v>2</v>
      </c>
      <c r="C26" s="67" t="n">
        <v>7</v>
      </c>
      <c r="D26" s="68" t="n"/>
    </row>
    <row r="27" ht="19.5" customHeight="1" s="55">
      <c r="A27" s="70" t="inlineStr">
        <is>
          <t>frigelis preta</t>
        </is>
      </c>
      <c r="B27" s="66" t="n">
        <v>1</v>
      </c>
      <c r="C27" s="67" t="n">
        <v>1.5</v>
      </c>
      <c r="D27" s="68" t="n"/>
      <c r="E27" s="74" t="n"/>
    </row>
    <row r="28" ht="19.5" customHeight="1" s="55">
      <c r="A28" s="70" t="inlineStr">
        <is>
          <t>frigelis verde</t>
        </is>
      </c>
      <c r="B28" s="66" t="n"/>
      <c r="C28" s="67" t="n"/>
      <c r="D28" s="68" t="n"/>
      <c r="E28" s="74" t="n"/>
    </row>
    <row r="29" ht="19.5" customHeight="1" s="55">
      <c r="A29" s="65" t="inlineStr">
        <is>
          <t>frigelis vermelha</t>
        </is>
      </c>
      <c r="B29" s="66" t="n"/>
      <c r="C29" s="67" t="n"/>
      <c r="D29" s="68" t="n"/>
      <c r="E29" s="74" t="n"/>
    </row>
    <row r="30" ht="19.5" customHeight="1" s="55">
      <c r="A30" s="70" t="inlineStr">
        <is>
          <t>cocada grande</t>
        </is>
      </c>
      <c r="B30" s="66" t="n">
        <v>3</v>
      </c>
      <c r="C30" s="67" t="n">
        <v>30</v>
      </c>
      <c r="D30" s="68" t="n"/>
      <c r="E30" s="74" t="n"/>
    </row>
    <row r="31" ht="19.5" customHeight="1" s="55">
      <c r="A31" s="70" t="inlineStr">
        <is>
          <t>cocada pequena</t>
        </is>
      </c>
      <c r="B31" s="66" t="n">
        <v>3</v>
      </c>
      <c r="C31" s="67" t="n">
        <v>10.5</v>
      </c>
      <c r="D31" s="68" t="n"/>
      <c r="E31" s="74" t="n"/>
    </row>
    <row r="32" ht="19.5" customHeight="1" s="55">
      <c r="A32" s="70" t="inlineStr">
        <is>
          <t>bala de yogurt</t>
        </is>
      </c>
      <c r="B32" s="66" t="n"/>
      <c r="C32" s="67" t="n"/>
      <c r="D32" s="68" t="n"/>
      <c r="E32" s="74" t="n"/>
    </row>
    <row r="33" ht="19.5" customHeight="1" s="55">
      <c r="A33" s="70" t="inlineStr">
        <is>
          <t>pirulito</t>
        </is>
      </c>
      <c r="B33" s="66" t="n"/>
      <c r="C33" s="67" t="n"/>
      <c r="D33" s="68" t="n"/>
      <c r="E33" s="74" t="n"/>
    </row>
    <row r="34" ht="19.5" customHeight="1" s="55">
      <c r="A34" s="70" t="inlineStr">
        <is>
          <t>coquero</t>
        </is>
      </c>
      <c r="B34" s="66" t="n">
        <v>2</v>
      </c>
      <c r="C34" s="67" t="n">
        <v>5.93</v>
      </c>
      <c r="D34" s="68" t="n"/>
      <c r="E34" s="74" t="n"/>
    </row>
    <row r="35" ht="19.5" customHeight="1" s="55">
      <c r="A35" s="70" t="inlineStr">
        <is>
          <t>zambanana</t>
        </is>
      </c>
      <c r="B35" s="66" t="n"/>
      <c r="C35" s="67" t="n"/>
      <c r="D35" s="68" t="n"/>
      <c r="E35" s="74" t="n"/>
    </row>
    <row r="36" ht="19.5" customHeight="1" s="55">
      <c r="A36" s="70" t="inlineStr">
        <is>
          <t>coca</t>
        </is>
      </c>
      <c r="B36" s="66" t="n">
        <v>1</v>
      </c>
      <c r="C36" s="67" t="n">
        <v>5</v>
      </c>
      <c r="D36" s="68" t="n"/>
    </row>
    <row r="37" ht="19.5" customHeight="1" s="55">
      <c r="A37" s="70" t="inlineStr">
        <is>
          <t>coca zero</t>
        </is>
      </c>
      <c r="B37" s="66" t="n"/>
      <c r="C37" s="67" t="n"/>
      <c r="D37" s="68" t="n"/>
    </row>
    <row r="38" ht="19.5" customHeight="1" s="55">
      <c r="A38" s="70" t="inlineStr">
        <is>
          <t>fanta</t>
        </is>
      </c>
      <c r="B38" s="66" t="n"/>
      <c r="C38" s="67" t="n"/>
      <c r="D38" s="68" t="n"/>
    </row>
    <row r="39" ht="19.5" customHeight="1" s="55">
      <c r="A39" s="70" t="inlineStr">
        <is>
          <t>sukita</t>
        </is>
      </c>
      <c r="B39" s="66" t="n"/>
      <c r="C39" s="67" t="n"/>
      <c r="D39" s="68" t="n"/>
    </row>
    <row r="40" ht="19.5" customHeight="1" s="55">
      <c r="A40" s="70" t="inlineStr">
        <is>
          <t>guarana</t>
        </is>
      </c>
      <c r="B40" s="66" t="n"/>
      <c r="C40" s="67" t="n"/>
      <c r="D40" s="68" t="n"/>
    </row>
    <row r="41" ht="19.5" customHeight="1" s="55">
      <c r="A41" s="70" t="inlineStr">
        <is>
          <t>limoneto</t>
        </is>
      </c>
      <c r="B41" s="66" t="n">
        <v>1</v>
      </c>
      <c r="C41" s="67" t="n">
        <v>6.96</v>
      </c>
      <c r="D41" s="68" t="n"/>
    </row>
    <row r="42" ht="19.5" customHeight="1" s="55">
      <c r="A42" s="70" t="inlineStr">
        <is>
          <t>agua</t>
        </is>
      </c>
      <c r="B42" s="66" t="n">
        <v>5</v>
      </c>
      <c r="C42" s="67" t="n">
        <v>15</v>
      </c>
      <c r="D42" s="68" t="n"/>
    </row>
    <row r="43" ht="19.5" customHeight="1" s="55">
      <c r="A43" s="70" t="inlineStr">
        <is>
          <t>agua c/ gás</t>
        </is>
      </c>
      <c r="B43" s="66" t="n"/>
      <c r="C43" s="67" t="n"/>
      <c r="D43" s="68" t="n"/>
    </row>
    <row r="44" ht="19.5" customHeight="1" s="55">
      <c r="A44" s="70" t="inlineStr">
        <is>
          <t>caixa de presente</t>
        </is>
      </c>
      <c r="B44" s="66" t="n"/>
      <c r="C44" s="67" t="n"/>
      <c r="D44" s="68" t="n"/>
    </row>
    <row r="45" ht="19.5" customHeight="1" s="55">
      <c r="A45" s="75" t="inlineStr">
        <is>
          <t>estojo bolacha</t>
        </is>
      </c>
      <c r="B45" s="71" t="n"/>
      <c r="C45" s="67" t="n"/>
      <c r="D45" s="76" t="n"/>
    </row>
    <row r="46" ht="19.5" customHeight="1" s="55">
      <c r="A46" s="77" t="inlineStr">
        <is>
          <t>TOTAL UNIDADES</t>
        </is>
      </c>
      <c r="B46" s="78">
        <f>SUM(B3:B45)</f>
        <v/>
      </c>
      <c r="C46" s="73">
        <f>SUM(C4:C45)</f>
        <v/>
      </c>
      <c r="D46" s="76" t="n"/>
    </row>
    <row r="47" ht="4.25" customHeight="1" s="55">
      <c r="A47" s="79" t="n"/>
      <c r="B47" s="80" t="n"/>
      <c r="C47" s="81" t="n"/>
      <c r="D47" s="76" t="n"/>
    </row>
    <row r="48" ht="19.5" customHeight="1" s="55">
      <c r="A48" s="82" t="inlineStr">
        <is>
          <t>TOTAL de VENDAS</t>
        </is>
      </c>
      <c r="B48" s="83" t="n"/>
      <c r="C48" s="73">
        <f>SUM(G11+C46)</f>
        <v/>
      </c>
      <c r="D48" s="76" t="n"/>
    </row>
    <row r="49" ht="9" customHeight="1" s="55">
      <c r="A49" s="84" t="n"/>
      <c r="B49" s="85" t="n"/>
      <c r="C49" s="86" t="n"/>
      <c r="D49" s="76" t="n"/>
    </row>
    <row r="50" ht="19.5" customHeight="1" s="55">
      <c r="A50" s="87" t="inlineStr">
        <is>
          <t>DESPESAS</t>
        </is>
      </c>
      <c r="B50" s="58" t="n"/>
      <c r="C50" s="88" t="n"/>
      <c r="D50" s="76" t="n"/>
    </row>
    <row r="51" ht="17.25" customHeight="1" s="55">
      <c r="A51" s="89" t="n"/>
      <c r="B51" s="67" t="n"/>
      <c r="C51" s="90" t="n"/>
    </row>
    <row r="52" ht="15" customFormat="1" customHeight="1" s="91">
      <c r="A52" s="92" t="n"/>
      <c r="B52" s="67" t="n"/>
    </row>
    <row r="53" ht="18" customHeight="1" s="55">
      <c r="A53" s="93" t="n"/>
      <c r="B53" s="67" t="n"/>
      <c r="C53" s="88" t="n"/>
    </row>
    <row r="54" ht="19.5" customHeight="1" s="55">
      <c r="A54" s="66" t="n"/>
      <c r="B54" s="67" t="n"/>
      <c r="C54" s="88" t="n"/>
    </row>
    <row r="55" ht="19.5" customHeight="1" s="55">
      <c r="A55" s="94" t="n"/>
      <c r="B55" s="67" t="n"/>
      <c r="C55" s="88" t="n"/>
    </row>
    <row r="56" ht="19.5" customHeight="1" s="55">
      <c r="A56" s="94" t="n"/>
      <c r="B56" s="67" t="n"/>
      <c r="C56" s="88" t="n"/>
    </row>
    <row r="57" ht="19.5" customHeight="1" s="55">
      <c r="A57" s="95" t="inlineStr">
        <is>
          <t>TOTAL DESPESAS</t>
        </is>
      </c>
      <c r="B57" s="73">
        <f>SUM(B53:B56)</f>
        <v/>
      </c>
      <c r="C57" s="88" t="n"/>
    </row>
    <row r="58" ht="4.25" customHeight="1" s="55">
      <c r="A58" s="96" t="n"/>
      <c r="B58" s="97" t="n"/>
      <c r="C58" s="88" t="n"/>
    </row>
    <row r="59" ht="18.75" customHeight="1" s="55">
      <c r="A59" s="98" t="inlineStr">
        <is>
          <t>TOTAL/RECEBIDO</t>
        </is>
      </c>
      <c r="B59" s="58" t="n"/>
      <c r="C59" s="88" t="n"/>
    </row>
    <row r="60" ht="18.75" customFormat="1" customHeight="1" s="99">
      <c r="A60" s="100" t="inlineStr">
        <is>
          <t>DINHEIRO</t>
        </is>
      </c>
      <c r="B60" s="67" t="inlineStr">
        <is>
          <t>1.433,50</t>
        </is>
      </c>
      <c r="C60" s="101" t="n"/>
    </row>
    <row r="61" ht="18.75" customHeight="1" s="55">
      <c r="A61" s="102" t="inlineStr">
        <is>
          <t>DEBITO</t>
        </is>
      </c>
      <c r="B61" s="67" t="inlineStr">
        <is>
          <t>701,50</t>
        </is>
      </c>
      <c r="C61" s="88" t="n"/>
    </row>
    <row r="62" ht="18.75" customHeight="1" s="55">
      <c r="A62" s="103" t="inlineStr">
        <is>
          <t>PIX</t>
        </is>
      </c>
      <c r="B62" s="67" t="inlineStr">
        <is>
          <t>2.465,00</t>
        </is>
      </c>
      <c r="C62" s="88" t="n"/>
    </row>
    <row r="63" ht="18.75" customHeight="1" s="55">
      <c r="A63" s="103" t="inlineStr">
        <is>
          <t>PRAZO</t>
        </is>
      </c>
      <c r="B63" s="67" t="n"/>
    </row>
    <row r="64" ht="19.5" customHeight="1" s="55">
      <c r="A64" s="104" t="inlineStr">
        <is>
          <t>total/recebido</t>
        </is>
      </c>
      <c r="B64" s="73">
        <f>SUM(B62+B57+B58+B60+B61+B63)</f>
        <v/>
      </c>
    </row>
    <row r="65" ht="9" customHeight="1" s="55">
      <c r="A65" s="105" t="n"/>
      <c r="B65" s="86" t="n"/>
    </row>
    <row r="66" ht="24" customHeight="1" s="55">
      <c r="A66" s="87" t="inlineStr">
        <is>
          <t>TOTAL em DINHEIRO</t>
        </is>
      </c>
      <c r="B66" s="58" t="n"/>
      <c r="C66" s="73">
        <f>SUM(B60-B55)</f>
        <v/>
      </c>
    </row>
    <row r="67" ht="15" customHeight="1" s="55"/>
    <row r="68" ht="15" customHeight="1" s="55"/>
    <row r="69" ht="15" customHeight="1" s="55"/>
    <row r="70" ht="15" customHeight="1" s="55"/>
    <row r="71" ht="15" customHeight="1" s="55"/>
    <row r="72" ht="15" customHeight="1" s="55"/>
    <row r="73" ht="15" customHeight="1" s="55"/>
    <row r="74" ht="15" customHeight="1" s="55"/>
    <row r="75" ht="15" customHeight="1" s="55"/>
    <row r="76" ht="15" customHeight="1" s="55"/>
    <row r="77" ht="15" customHeight="1" s="55"/>
  </sheetData>
  <mergeCells count="6">
    <mergeCell ref="A48:B48"/>
    <mergeCell ref="A1:G1"/>
    <mergeCell ref="A59:B59"/>
    <mergeCell ref="A66:B66"/>
    <mergeCell ref="A58:B58"/>
    <mergeCell ref="A50:B50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ESTACAO</dc:creator>
  <dc:language>pt-BR</dc:language>
  <dcterms:created xsi:type="dcterms:W3CDTF">2021-09-29T17:12:24Z</dcterms:created>
  <dcterms:modified xsi:type="dcterms:W3CDTF">2026-01-04T15:18:54Z</dcterms:modified>
  <cp:revision>6</cp:revision>
  <cp:lastPrinted>2023-11-01T21:06:41Z</cp:lastPrinted>
</cp:coreProperties>
</file>